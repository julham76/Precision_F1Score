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1695" yWindow="5550" windowWidth="22260" windowHeight="1258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0" i="1" l="1"/>
  <c r="H39" i="1"/>
  <c r="H38" i="1"/>
  <c r="H37" i="1"/>
  <c r="H36" i="1"/>
  <c r="C13" i="1"/>
  <c r="C12" i="1"/>
  <c r="C11" i="1"/>
  <c r="G3" i="1" l="1"/>
  <c r="G4" i="1"/>
  <c r="G5" i="1"/>
  <c r="G6" i="1"/>
  <c r="G7" i="1"/>
  <c r="C10" i="1"/>
  <c r="G10" i="1"/>
  <c r="C16" i="1"/>
  <c r="G11" i="1"/>
  <c r="G12" i="1"/>
  <c r="G15" i="1" s="1"/>
  <c r="G13" i="1"/>
  <c r="G14" i="1" s="1"/>
  <c r="K13" i="1"/>
  <c r="K14" i="1"/>
  <c r="K15" i="1"/>
  <c r="K18" i="1" s="1"/>
  <c r="K16" i="1"/>
  <c r="C19" i="1"/>
  <c r="G19" i="1"/>
  <c r="C20" i="1"/>
  <c r="G20" i="1"/>
  <c r="C21" i="1"/>
  <c r="G21" i="1"/>
  <c r="C22" i="1"/>
  <c r="G22" i="1"/>
  <c r="G23" i="1" l="1"/>
  <c r="K19" i="1"/>
  <c r="G16" i="1"/>
  <c r="G17" i="1"/>
  <c r="D30" i="1" s="1"/>
  <c r="C25" i="1"/>
  <c r="C14" i="1"/>
  <c r="C24" i="1"/>
  <c r="G25" i="1"/>
  <c r="G24" i="1"/>
  <c r="C26" i="1"/>
  <c r="D29" i="1" s="1"/>
  <c r="C15" i="1"/>
  <c r="G26" i="1"/>
  <c r="D31" i="1" s="1"/>
  <c r="K20" i="1"/>
  <c r="D32" i="1" s="1"/>
  <c r="C23" i="1"/>
  <c r="K17" i="1"/>
  <c r="C17" i="1"/>
  <c r="D28" i="1" s="1"/>
</calcChain>
</file>

<file path=xl/comments1.xml><?xml version="1.0" encoding="utf-8"?>
<comments xmlns="http://schemas.openxmlformats.org/spreadsheetml/2006/main">
  <authors>
    <author>Author</author>
  </authors>
  <commentList>
    <comment ref="B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dibenarkan tapi benar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dibenarkan tapi benar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disalahkan tapi benar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disalahkan tapi benar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dibenarkan tapi salah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dibenarkan tapi salah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disalahkan tapi salah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disalahkan tapi salah</t>
        </r>
      </text>
    </comment>
    <comment ref="J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dibenarkan tapi benar</t>
        </r>
      </text>
    </comment>
    <comment ref="J1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disalahkan tapi benar</t>
        </r>
      </text>
    </comment>
    <comment ref="J1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dibenarkan tapi salah</t>
        </r>
      </text>
    </comment>
    <comment ref="J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disalahkan tapi salah</t>
        </r>
      </text>
    </comment>
    <comment ref="B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dibenarkan tapi benar</t>
        </r>
      </text>
    </comment>
    <comment ref="F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dibenarkan tapi benar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disalahkan tapi benar</t>
        </r>
      </text>
    </comment>
    <comment ref="F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disalahkan tapi benar</t>
        </r>
      </text>
    </comment>
    <comment ref="B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dibenarkan tapi salah</t>
        </r>
      </text>
    </comment>
    <comment ref="F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dibenarkan tapi salah</t>
        </r>
      </text>
    </comment>
    <comment ref="B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disalahkan tapi salah</t>
        </r>
      </text>
    </comment>
    <comment ref="F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disalahkan tapi salah</t>
        </r>
      </text>
    </comment>
  </commentList>
</comments>
</file>

<file path=xl/sharedStrings.xml><?xml version="1.0" encoding="utf-8"?>
<sst xmlns="http://schemas.openxmlformats.org/spreadsheetml/2006/main" count="70" uniqueCount="28">
  <si>
    <t>TP</t>
  </si>
  <si>
    <t>NORMAL</t>
  </si>
  <si>
    <t>FP</t>
  </si>
  <si>
    <t>FN</t>
  </si>
  <si>
    <t>TN</t>
  </si>
  <si>
    <t>PRECISION</t>
  </si>
  <si>
    <t>RECALL</t>
  </si>
  <si>
    <t>ACCURACY</t>
  </si>
  <si>
    <t>PROBE</t>
  </si>
  <si>
    <t>DOS</t>
  </si>
  <si>
    <t>U2R</t>
  </si>
  <si>
    <t>R2L</t>
  </si>
  <si>
    <t>normal</t>
  </si>
  <si>
    <t>dos</t>
  </si>
  <si>
    <t>probe</t>
  </si>
  <si>
    <t>u2r</t>
  </si>
  <si>
    <t>r2l</t>
  </si>
  <si>
    <t>SPECIFICITY</t>
  </si>
  <si>
    <t>pengukuran</t>
  </si>
  <si>
    <t>Tingkat Akurasi NORMAL</t>
  </si>
  <si>
    <t>Tingkat Akurasi PROBE</t>
  </si>
  <si>
    <t>Tingkat Akurasi DOS</t>
  </si>
  <si>
    <t>Tingkat Akurasi R2L</t>
  </si>
  <si>
    <t>Tingkat Akurasi U2R</t>
  </si>
  <si>
    <t>TP adalah hasil penjumlahan dari data yang berwarna MERAH</t>
  </si>
  <si>
    <t>FN adalah hasil penjumlahan dari data yang diberi warna BIRU</t>
  </si>
  <si>
    <t>FP adalah hasil penjumlahan dari data yang diberi warna HIJAU</t>
  </si>
  <si>
    <t>TN adalah hasil penjumlahan dari data yang diberi warna KUNING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</si>
</sst>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0" borderId="0" xfId="0" applyBorder="1"/>
    <xf numFmtId="9" fontId="0" fillId="0" borderId="0" xfId="0" applyNumberFormat="1" applyFill="1" applyBorder="1"/>
    <xf numFmtId="0" fontId="0" fillId="0" borderId="0" xfId="0" applyFill="1" applyBorder="1"/>
    <xf numFmtId="0" fontId="0" fillId="3" borderId="0" xfId="0" applyFill="1"/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3" fillId="3" borderId="1" xfId="0" applyFont="1" applyFill="1" applyBorder="1" applyAlignment="1">
      <alignment horizontal="right"/>
    </xf>
    <xf numFmtId="0" fontId="0" fillId="3" borderId="0" xfId="0" applyFill="1" applyAlignment="1">
      <alignment horizontal="right"/>
    </xf>
    <xf numFmtId="0" fontId="3" fillId="3" borderId="2" xfId="0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0" borderId="0" xfId="0" applyFill="1"/>
    <xf numFmtId="0" fontId="0" fillId="3" borderId="2" xfId="0" applyFill="1" applyBorder="1" applyAlignment="1">
      <alignment horizontal="center" vertical="center" textRotation="90"/>
    </xf>
    <xf numFmtId="0" fontId="0" fillId="3" borderId="3" xfId="0" applyFill="1" applyBorder="1" applyAlignment="1">
      <alignment horizontal="center" vertical="center" textRotation="90"/>
    </xf>
    <xf numFmtId="0" fontId="0" fillId="3" borderId="4" xfId="0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0" xfId="0" applyFill="1"/>
    <xf numFmtId="0" fontId="4" fillId="0" borderId="0" xfId="0" applyFont="1" applyAlignment="1">
      <alignment horizontal="left"/>
    </xf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91"/>
  <sheetViews>
    <sheetView tabSelected="1" topLeftCell="A7" zoomScale="90" zoomScaleNormal="90" workbookViewId="0">
      <selection activeCell="G30" sqref="G30"/>
    </sheetView>
  </sheetViews>
  <sheetFormatPr defaultRowHeight="15" x14ac:dyDescent="0.25"/>
  <cols>
    <col min="1" max="1" width="1.85546875" customWidth="1"/>
    <col min="2" max="2" width="11.7109375" bestFit="1" customWidth="1"/>
    <col min="3" max="3" width="13.28515625" bestFit="1" customWidth="1"/>
    <col min="4" max="6" width="8.85546875" customWidth="1"/>
    <col min="7" max="7" width="15" customWidth="1"/>
    <col min="9" max="9" width="2.85546875" customWidth="1"/>
    <col min="10" max="10" width="11.7109375" bestFit="1" customWidth="1"/>
  </cols>
  <sheetData>
    <row r="1" spans="1:12" x14ac:dyDescent="0.25">
      <c r="A1" s="5"/>
      <c r="B1" s="5"/>
      <c r="C1" s="5"/>
      <c r="D1" s="5"/>
      <c r="E1" s="5"/>
      <c r="F1" s="5"/>
      <c r="G1" s="5"/>
      <c r="H1" s="5"/>
    </row>
    <row r="2" spans="1:12" ht="22.5" customHeight="1" x14ac:dyDescent="0.25">
      <c r="A2" s="5"/>
      <c r="B2" s="17" t="s">
        <v>12</v>
      </c>
      <c r="C2" s="17" t="s">
        <v>14</v>
      </c>
      <c r="D2" s="17" t="s">
        <v>13</v>
      </c>
      <c r="E2" s="17" t="s">
        <v>16</v>
      </c>
      <c r="F2" s="17" t="s">
        <v>15</v>
      </c>
      <c r="G2" s="18" t="s">
        <v>18</v>
      </c>
      <c r="H2" s="5"/>
      <c r="I2" s="2"/>
      <c r="J2" s="2"/>
      <c r="K2" s="2"/>
      <c r="L2" s="2"/>
    </row>
    <row r="3" spans="1:12" x14ac:dyDescent="0.25">
      <c r="A3" s="5"/>
      <c r="B3" s="19">
        <v>1173</v>
      </c>
      <c r="C3" s="16">
        <v>99</v>
      </c>
      <c r="D3" s="16">
        <v>315</v>
      </c>
      <c r="E3" s="16">
        <v>231</v>
      </c>
      <c r="F3" s="16">
        <v>7</v>
      </c>
      <c r="G3" s="16" t="str">
        <f>B2</f>
        <v>normal</v>
      </c>
      <c r="H3" s="5"/>
      <c r="I3" s="2"/>
      <c r="J3" s="2"/>
      <c r="K3" s="2"/>
      <c r="L3" s="2"/>
    </row>
    <row r="4" spans="1:12" x14ac:dyDescent="0.25">
      <c r="A4" s="5"/>
      <c r="B4" s="16">
        <v>118</v>
      </c>
      <c r="C4" s="16">
        <v>1824</v>
      </c>
      <c r="D4" s="16">
        <v>92</v>
      </c>
      <c r="E4" s="16">
        <v>18</v>
      </c>
      <c r="F4" s="16">
        <v>0</v>
      </c>
      <c r="G4" s="16" t="str">
        <f>C2</f>
        <v>probe</v>
      </c>
      <c r="H4" s="5"/>
      <c r="I4" s="2"/>
      <c r="J4" s="2"/>
      <c r="K4" s="2"/>
      <c r="L4" s="2"/>
    </row>
    <row r="5" spans="1:12" x14ac:dyDescent="0.25">
      <c r="A5" s="5"/>
      <c r="B5" s="16">
        <v>51</v>
      </c>
      <c r="C5" s="16">
        <v>15</v>
      </c>
      <c r="D5" s="16">
        <v>3565</v>
      </c>
      <c r="E5" s="16">
        <v>0</v>
      </c>
      <c r="F5" s="16">
        <v>0</v>
      </c>
      <c r="G5" s="16" t="str">
        <f>D2</f>
        <v>dos</v>
      </c>
      <c r="H5" s="5"/>
      <c r="I5" s="2"/>
      <c r="J5" s="2"/>
      <c r="K5" s="2"/>
      <c r="L5" s="2"/>
    </row>
    <row r="6" spans="1:12" x14ac:dyDescent="0.25">
      <c r="A6" s="5"/>
      <c r="B6" s="16">
        <v>433</v>
      </c>
      <c r="C6" s="16">
        <v>67</v>
      </c>
      <c r="D6" s="16">
        <v>21</v>
      </c>
      <c r="E6" s="16">
        <v>1909</v>
      </c>
      <c r="F6" s="16">
        <v>6</v>
      </c>
      <c r="G6" s="16" t="str">
        <f>E2</f>
        <v>r2l</v>
      </c>
      <c r="H6" s="5"/>
      <c r="I6" s="2"/>
      <c r="J6" s="2"/>
      <c r="K6" s="2"/>
      <c r="L6" s="2"/>
    </row>
    <row r="7" spans="1:12" x14ac:dyDescent="0.25">
      <c r="A7" s="5"/>
      <c r="B7" s="16">
        <v>0</v>
      </c>
      <c r="C7" s="16">
        <v>0</v>
      </c>
      <c r="D7" s="16">
        <v>9</v>
      </c>
      <c r="E7" s="16">
        <v>24</v>
      </c>
      <c r="F7" s="16">
        <v>23</v>
      </c>
      <c r="G7" s="16" t="str">
        <f>F2</f>
        <v>u2r</v>
      </c>
      <c r="H7" s="5"/>
      <c r="I7" s="2"/>
      <c r="J7" s="2"/>
      <c r="K7" s="2"/>
      <c r="L7" s="2"/>
    </row>
    <row r="8" spans="1:12" ht="15.75" customHeight="1" x14ac:dyDescent="0.25">
      <c r="A8" s="5"/>
      <c r="B8" s="5"/>
      <c r="C8" s="5"/>
      <c r="D8" s="5"/>
      <c r="E8" s="5"/>
      <c r="F8" s="5"/>
      <c r="G8" s="5"/>
      <c r="H8" s="5"/>
    </row>
    <row r="9" spans="1:12" s="12" customFormat="1" x14ac:dyDescent="0.25"/>
    <row r="10" spans="1:12" ht="15.75" customHeight="1" x14ac:dyDescent="0.25">
      <c r="A10" s="5"/>
      <c r="B10" s="6" t="s">
        <v>0</v>
      </c>
      <c r="C10" s="7">
        <f>B3</f>
        <v>1173</v>
      </c>
      <c r="D10" s="13" t="s">
        <v>1</v>
      </c>
      <c r="E10" s="5"/>
      <c r="F10" s="6" t="s">
        <v>0</v>
      </c>
      <c r="G10" s="7">
        <f>D5</f>
        <v>3565</v>
      </c>
      <c r="H10" s="13" t="s">
        <v>9</v>
      </c>
      <c r="I10" s="5"/>
      <c r="J10" s="5"/>
      <c r="K10" s="5"/>
      <c r="L10" s="5"/>
    </row>
    <row r="11" spans="1:12" x14ac:dyDescent="0.25">
      <c r="A11" s="5"/>
      <c r="B11" s="6" t="s">
        <v>3</v>
      </c>
      <c r="C11" s="7">
        <f>C3+D3+E3+F3</f>
        <v>652</v>
      </c>
      <c r="D11" s="14"/>
      <c r="E11" s="5"/>
      <c r="F11" s="6" t="s">
        <v>3</v>
      </c>
      <c r="G11" s="7">
        <f>F5+E5+C5+B5</f>
        <v>66</v>
      </c>
      <c r="H11" s="14"/>
      <c r="I11" s="5"/>
      <c r="J11" s="5"/>
      <c r="K11" s="5"/>
      <c r="L11" s="5"/>
    </row>
    <row r="12" spans="1:12" x14ac:dyDescent="0.25">
      <c r="A12" s="5"/>
      <c r="B12" s="6" t="s">
        <v>2</v>
      </c>
      <c r="C12" s="7">
        <f>B4+B5+B6+B7</f>
        <v>602</v>
      </c>
      <c r="D12" s="14"/>
      <c r="E12" s="5"/>
      <c r="F12" s="6" t="s">
        <v>2</v>
      </c>
      <c r="G12" s="7">
        <f>D3+D4+D6+D7</f>
        <v>437</v>
      </c>
      <c r="H12" s="14"/>
      <c r="I12" s="5"/>
      <c r="J12" s="5"/>
      <c r="K12" s="5"/>
      <c r="L12" s="5"/>
    </row>
    <row r="13" spans="1:12" x14ac:dyDescent="0.25">
      <c r="A13" s="5"/>
      <c r="B13" s="6" t="s">
        <v>4</v>
      </c>
      <c r="C13" s="7">
        <f>C4+C5+C6+C7+D4+D5+D6+D7+E4+E5+E6+E7+F4+F5+F6+F7</f>
        <v>7573</v>
      </c>
      <c r="D13" s="14"/>
      <c r="E13" s="5"/>
      <c r="F13" s="6" t="s">
        <v>4</v>
      </c>
      <c r="G13" s="7">
        <f>B3+C3+E3+F3+F4+E4+C4+B4+B6+B7+C7+C6+E7+E6+F6+F7</f>
        <v>5932</v>
      </c>
      <c r="H13" s="14"/>
      <c r="I13" s="5"/>
      <c r="J13" s="6" t="s">
        <v>0</v>
      </c>
      <c r="K13" s="7">
        <f>F7</f>
        <v>23</v>
      </c>
      <c r="L13" s="13" t="s">
        <v>10</v>
      </c>
    </row>
    <row r="14" spans="1:12" x14ac:dyDescent="0.25">
      <c r="A14" s="5"/>
      <c r="B14" s="8" t="s">
        <v>17</v>
      </c>
      <c r="C14" s="6">
        <f>C13/(C11+C13)</f>
        <v>0.92072948328267479</v>
      </c>
      <c r="D14" s="14"/>
      <c r="E14" s="5"/>
      <c r="F14" s="8" t="s">
        <v>17</v>
      </c>
      <c r="G14" s="6">
        <f>G13/(G11+G13)</f>
        <v>0.98899633211070359</v>
      </c>
      <c r="H14" s="14"/>
      <c r="I14" s="5"/>
      <c r="J14" s="6" t="s">
        <v>3</v>
      </c>
      <c r="K14" s="7">
        <f>E7+D7+C7+B7</f>
        <v>33</v>
      </c>
      <c r="L14" s="14"/>
    </row>
    <row r="15" spans="1:12" x14ac:dyDescent="0.25">
      <c r="A15" s="5"/>
      <c r="B15" s="8" t="s">
        <v>5</v>
      </c>
      <c r="C15" s="6">
        <f>C10/(C10+C12)</f>
        <v>0.66084507042253526</v>
      </c>
      <c r="D15" s="14"/>
      <c r="E15" s="5"/>
      <c r="F15" s="8" t="s">
        <v>5</v>
      </c>
      <c r="G15" s="6">
        <f>G10/(G10+G12)</f>
        <v>0.89080459770114939</v>
      </c>
      <c r="H15" s="14"/>
      <c r="I15" s="5"/>
      <c r="J15" s="6" t="s">
        <v>2</v>
      </c>
      <c r="K15" s="7">
        <f>F3+F4+F5+F6</f>
        <v>13</v>
      </c>
      <c r="L15" s="14"/>
    </row>
    <row r="16" spans="1:12" x14ac:dyDescent="0.25">
      <c r="A16" s="5"/>
      <c r="B16" s="8" t="s">
        <v>6</v>
      </c>
      <c r="C16" s="6">
        <f>C10/(C10+C11)</f>
        <v>0.64273972602739726</v>
      </c>
      <c r="D16" s="14"/>
      <c r="E16" s="5"/>
      <c r="F16" s="8" t="s">
        <v>6</v>
      </c>
      <c r="G16" s="6">
        <f>G10/(G10+G11)</f>
        <v>0.98182318920407596</v>
      </c>
      <c r="H16" s="14"/>
      <c r="I16" s="5"/>
      <c r="J16" s="6" t="s">
        <v>4</v>
      </c>
      <c r="K16" s="7">
        <f>B3+B4+B5+B6+C6+C5+C4+C3+D3+D4+D6+D5+E3+E4+E5+E6</f>
        <v>9931</v>
      </c>
      <c r="L16" s="14"/>
    </row>
    <row r="17" spans="1:12" x14ac:dyDescent="0.25">
      <c r="A17" s="5"/>
      <c r="B17" s="8" t="s">
        <v>7</v>
      </c>
      <c r="C17" s="6">
        <f>(C10+C13)/(C10+C11+C12+C13)</f>
        <v>0.87460000000000004</v>
      </c>
      <c r="D17" s="15"/>
      <c r="E17" s="5"/>
      <c r="F17" s="8" t="s">
        <v>7</v>
      </c>
      <c r="G17" s="6">
        <f>(G10+G13)/(G10+G11+G12+G13)</f>
        <v>0.94969999999999999</v>
      </c>
      <c r="H17" s="15"/>
      <c r="I17" s="5"/>
      <c r="J17" s="8" t="s">
        <v>17</v>
      </c>
      <c r="K17" s="6">
        <f>K16/(K16+K14)</f>
        <v>0.99668807707747897</v>
      </c>
      <c r="L17" s="14"/>
    </row>
    <row r="18" spans="1:12" x14ac:dyDescent="0.25">
      <c r="A18" s="5"/>
      <c r="B18" s="9"/>
      <c r="C18" s="5"/>
      <c r="D18" s="5"/>
      <c r="E18" s="5"/>
      <c r="F18" s="9"/>
      <c r="G18" s="5"/>
      <c r="H18" s="5"/>
      <c r="I18" s="5"/>
      <c r="J18" s="8" t="s">
        <v>5</v>
      </c>
      <c r="K18" s="6">
        <f>K13/(K13+K15)</f>
        <v>0.63888888888888884</v>
      </c>
      <c r="L18" s="14"/>
    </row>
    <row r="19" spans="1:12" ht="15.75" customHeight="1" x14ac:dyDescent="0.25">
      <c r="A19" s="5"/>
      <c r="B19" s="6" t="s">
        <v>0</v>
      </c>
      <c r="C19" s="7">
        <f>C4</f>
        <v>1824</v>
      </c>
      <c r="D19" s="13" t="s">
        <v>8</v>
      </c>
      <c r="E19" s="5"/>
      <c r="F19" s="6" t="s">
        <v>0</v>
      </c>
      <c r="G19" s="7">
        <f>E6</f>
        <v>1909</v>
      </c>
      <c r="H19" s="13" t="s">
        <v>11</v>
      </c>
      <c r="I19" s="5"/>
      <c r="J19" s="8" t="s">
        <v>6</v>
      </c>
      <c r="K19" s="6">
        <f>K13/(K13+K14)</f>
        <v>0.4107142857142857</v>
      </c>
      <c r="L19" s="14"/>
    </row>
    <row r="20" spans="1:12" x14ac:dyDescent="0.25">
      <c r="A20" s="5"/>
      <c r="B20" s="6" t="s">
        <v>3</v>
      </c>
      <c r="C20" s="7">
        <f>F4+E4+D4+B4</f>
        <v>228</v>
      </c>
      <c r="D20" s="14"/>
      <c r="E20" s="5"/>
      <c r="F20" s="6" t="s">
        <v>3</v>
      </c>
      <c r="G20" s="7">
        <f>F6+D6+C6+B6</f>
        <v>527</v>
      </c>
      <c r="H20" s="14"/>
      <c r="I20" s="5"/>
      <c r="J20" s="8" t="s">
        <v>7</v>
      </c>
      <c r="K20" s="6">
        <f>(K13+K16)/(K13+K14+K15+K16)</f>
        <v>0.99539999999999995</v>
      </c>
      <c r="L20" s="15"/>
    </row>
    <row r="21" spans="1:12" x14ac:dyDescent="0.25">
      <c r="A21" s="5"/>
      <c r="B21" s="6" t="s">
        <v>2</v>
      </c>
      <c r="C21" s="7">
        <f>C3+C5+C6+C7</f>
        <v>181</v>
      </c>
      <c r="D21" s="14"/>
      <c r="E21" s="5"/>
      <c r="F21" s="6" t="s">
        <v>2</v>
      </c>
      <c r="G21" s="7">
        <f>E3+E4+E5+E7</f>
        <v>273</v>
      </c>
      <c r="H21" s="14"/>
      <c r="I21" s="5"/>
      <c r="J21" s="5"/>
      <c r="K21" s="5"/>
      <c r="L21" s="5"/>
    </row>
    <row r="22" spans="1:12" x14ac:dyDescent="0.25">
      <c r="A22" s="5"/>
      <c r="B22" s="6" t="s">
        <v>4</v>
      </c>
      <c r="C22" s="7">
        <f>B3+B5+B6+B7+D7+D6+D5+D3+E3+E5+E6+E7+F7+F6+F5+F3</f>
        <v>7767</v>
      </c>
      <c r="D22" s="14"/>
      <c r="E22" s="5"/>
      <c r="F22" s="6" t="s">
        <v>4</v>
      </c>
      <c r="G22" s="7">
        <f>B3+B4+B5+B7+C7+D7+F7+F5+F4+F3+D3+D4+D5+C5+C4+C3</f>
        <v>7291</v>
      </c>
      <c r="H22" s="14"/>
      <c r="I22" s="5"/>
      <c r="J22" s="5"/>
      <c r="K22" s="5"/>
      <c r="L22" s="5"/>
    </row>
    <row r="23" spans="1:12" x14ac:dyDescent="0.25">
      <c r="A23" s="5"/>
      <c r="B23" s="8" t="s">
        <v>17</v>
      </c>
      <c r="C23" s="6">
        <f>C22/(C20+C22)</f>
        <v>0.97148217636022516</v>
      </c>
      <c r="D23" s="14"/>
      <c r="E23" s="5"/>
      <c r="F23" s="8" t="s">
        <v>17</v>
      </c>
      <c r="G23" s="6">
        <f>G22/(G22+G20)</f>
        <v>0.93259145561524681</v>
      </c>
      <c r="H23" s="14"/>
      <c r="I23" s="5"/>
      <c r="J23" s="5"/>
      <c r="K23" s="5"/>
      <c r="L23" s="5"/>
    </row>
    <row r="24" spans="1:12" x14ac:dyDescent="0.25">
      <c r="A24" s="5"/>
      <c r="B24" s="8" t="s">
        <v>5</v>
      </c>
      <c r="C24" s="6">
        <f>C19/(C19+C21)</f>
        <v>0.90972568578553614</v>
      </c>
      <c r="D24" s="14"/>
      <c r="E24" s="5"/>
      <c r="F24" s="8" t="s">
        <v>5</v>
      </c>
      <c r="G24" s="6">
        <f>G19/(G19+G21)</f>
        <v>0.87488542621448218</v>
      </c>
      <c r="H24" s="14"/>
      <c r="I24" s="5"/>
      <c r="J24" s="5"/>
      <c r="K24" s="5"/>
      <c r="L24" s="5"/>
    </row>
    <row r="25" spans="1:12" x14ac:dyDescent="0.25">
      <c r="A25" s="5"/>
      <c r="B25" s="8" t="s">
        <v>6</v>
      </c>
      <c r="C25" s="6">
        <f>C19/(C19+C20)</f>
        <v>0.88888888888888884</v>
      </c>
      <c r="D25" s="14"/>
      <c r="E25" s="5"/>
      <c r="F25" s="8" t="s">
        <v>6</v>
      </c>
      <c r="G25" s="6">
        <f>G19/(G19+G20)</f>
        <v>0.7836617405582923</v>
      </c>
      <c r="H25" s="14"/>
      <c r="I25" s="5"/>
      <c r="J25" s="5"/>
      <c r="K25" s="5"/>
      <c r="L25" s="5"/>
    </row>
    <row r="26" spans="1:12" x14ac:dyDescent="0.25">
      <c r="A26" s="5"/>
      <c r="B26" s="10" t="s">
        <v>7</v>
      </c>
      <c r="C26" s="11">
        <f>(C19+C22)/(C19+C20+C21+C22)</f>
        <v>0.95909999999999995</v>
      </c>
      <c r="D26" s="14"/>
      <c r="E26" s="5"/>
      <c r="F26" s="10" t="s">
        <v>7</v>
      </c>
      <c r="G26" s="11">
        <f>(G19+G22)/(G19+G20+G21+G22)</f>
        <v>0.92</v>
      </c>
      <c r="H26" s="14"/>
      <c r="I26" s="5"/>
      <c r="J26" s="5"/>
      <c r="K26" s="5"/>
      <c r="L26" s="5"/>
    </row>
    <row r="27" spans="1:12" x14ac:dyDescent="0.25">
      <c r="B27" s="4"/>
      <c r="C27" s="4"/>
      <c r="D27" s="3"/>
      <c r="E27" s="3"/>
      <c r="F27" s="3"/>
      <c r="G27" s="3"/>
      <c r="H27" s="3"/>
      <c r="I27" s="3"/>
      <c r="J27" s="3"/>
      <c r="K27" s="3"/>
      <c r="L27" s="3"/>
    </row>
    <row r="28" spans="1:12" ht="15.75" customHeight="1" x14ac:dyDescent="0.25">
      <c r="B28" t="s">
        <v>19</v>
      </c>
      <c r="C28" s="4"/>
      <c r="D28" s="4">
        <f>C17</f>
        <v>0.87460000000000004</v>
      </c>
      <c r="E28" s="4"/>
      <c r="F28" s="4"/>
      <c r="G28" s="4"/>
      <c r="H28" s="4"/>
      <c r="I28" s="4"/>
      <c r="J28" s="4"/>
      <c r="K28" s="4"/>
      <c r="L28" s="4"/>
    </row>
    <row r="29" spans="1:12" x14ac:dyDescent="0.25">
      <c r="B29" t="s">
        <v>20</v>
      </c>
      <c r="C29" s="4"/>
      <c r="D29" s="4">
        <f>C26</f>
        <v>0.95909999999999995</v>
      </c>
      <c r="E29" s="4"/>
      <c r="F29" s="4"/>
      <c r="G29" s="4"/>
      <c r="H29" s="4"/>
      <c r="I29" s="4"/>
      <c r="J29" s="4"/>
      <c r="K29" s="4"/>
      <c r="L29" s="4"/>
    </row>
    <row r="30" spans="1:12" x14ac:dyDescent="0.25">
      <c r="B30" t="s">
        <v>21</v>
      </c>
      <c r="C30" s="4"/>
      <c r="D30" s="4">
        <f>G17</f>
        <v>0.94969999999999999</v>
      </c>
      <c r="E30" s="4"/>
      <c r="F30" s="4"/>
      <c r="G30" s="4"/>
      <c r="H30" s="4"/>
      <c r="I30" s="4"/>
      <c r="J30" s="4"/>
      <c r="K30" s="4"/>
      <c r="L30" s="4"/>
    </row>
    <row r="31" spans="1:12" x14ac:dyDescent="0.25">
      <c r="B31" t="s">
        <v>22</v>
      </c>
      <c r="C31" s="4"/>
      <c r="D31" s="4">
        <f>G26</f>
        <v>0.92</v>
      </c>
      <c r="E31" s="4"/>
      <c r="I31" s="4"/>
      <c r="J31" s="4"/>
      <c r="K31" s="4"/>
      <c r="L31" s="4"/>
    </row>
    <row r="32" spans="1:12" x14ac:dyDescent="0.25">
      <c r="B32" t="s">
        <v>23</v>
      </c>
      <c r="C32" s="4"/>
      <c r="D32" s="4">
        <f>K20</f>
        <v>0.99539999999999995</v>
      </c>
      <c r="E32" s="4"/>
      <c r="I32" s="4"/>
      <c r="J32" s="4"/>
      <c r="K32" s="4"/>
      <c r="L32" s="4"/>
    </row>
    <row r="33" spans="2:12" x14ac:dyDescent="0.25">
      <c r="B33" s="4"/>
      <c r="C33" s="4"/>
      <c r="D33" s="4"/>
      <c r="E33" s="4"/>
      <c r="I33" s="4"/>
      <c r="J33" s="4"/>
      <c r="K33" s="4"/>
      <c r="L33" s="4"/>
    </row>
    <row r="34" spans="2:12" x14ac:dyDescent="0.25">
      <c r="B34" s="4"/>
      <c r="C34" s="4"/>
      <c r="D34" s="4"/>
      <c r="E34" s="4"/>
      <c r="I34" s="4"/>
      <c r="J34" s="4"/>
      <c r="K34" s="4"/>
      <c r="L34" s="4"/>
    </row>
    <row r="35" spans="2:12" x14ac:dyDescent="0.25">
      <c r="B35" s="4"/>
      <c r="C35" s="20" t="s">
        <v>12</v>
      </c>
      <c r="D35" s="20" t="s">
        <v>14</v>
      </c>
      <c r="E35" s="20" t="s">
        <v>13</v>
      </c>
      <c r="F35" s="20" t="s">
        <v>16</v>
      </c>
      <c r="G35" s="20" t="s">
        <v>15</v>
      </c>
      <c r="H35" s="21" t="s">
        <v>18</v>
      </c>
      <c r="L35" s="4"/>
    </row>
    <row r="36" spans="2:12" x14ac:dyDescent="0.25">
      <c r="B36" s="4"/>
      <c r="C36" s="19">
        <v>1173</v>
      </c>
      <c r="D36" s="22">
        <v>99</v>
      </c>
      <c r="E36" s="22">
        <v>315</v>
      </c>
      <c r="F36" s="22">
        <v>231</v>
      </c>
      <c r="G36" s="22">
        <v>7</v>
      </c>
      <c r="H36" s="20" t="str">
        <f>C35</f>
        <v>normal</v>
      </c>
      <c r="L36" s="4"/>
    </row>
    <row r="37" spans="2:12" ht="15.75" customHeight="1" x14ac:dyDescent="0.25">
      <c r="B37" s="4"/>
      <c r="C37" s="23">
        <v>118</v>
      </c>
      <c r="D37" s="16">
        <v>1824</v>
      </c>
      <c r="E37" s="16">
        <v>92</v>
      </c>
      <c r="F37" s="16">
        <v>18</v>
      </c>
      <c r="G37" s="16">
        <v>0</v>
      </c>
      <c r="H37" s="20" t="str">
        <f>D35</f>
        <v>probe</v>
      </c>
      <c r="L37" s="4"/>
    </row>
    <row r="38" spans="2:12" x14ac:dyDescent="0.25">
      <c r="B38" s="4"/>
      <c r="C38" s="23">
        <v>51</v>
      </c>
      <c r="D38" s="16">
        <v>15</v>
      </c>
      <c r="E38" s="16">
        <v>3565</v>
      </c>
      <c r="F38" s="16">
        <v>0</v>
      </c>
      <c r="G38" s="16">
        <v>0</v>
      </c>
      <c r="H38" s="20" t="str">
        <f>E35</f>
        <v>dos</v>
      </c>
      <c r="L38" s="4"/>
    </row>
    <row r="39" spans="2:12" x14ac:dyDescent="0.25">
      <c r="B39" s="4"/>
      <c r="C39" s="23">
        <v>433</v>
      </c>
      <c r="D39" s="16">
        <v>67</v>
      </c>
      <c r="E39" s="16">
        <v>21</v>
      </c>
      <c r="F39" s="16">
        <v>1909</v>
      </c>
      <c r="G39" s="16">
        <v>6</v>
      </c>
      <c r="H39" s="20" t="str">
        <f>F35</f>
        <v>r2l</v>
      </c>
      <c r="L39" s="4"/>
    </row>
    <row r="40" spans="2:12" x14ac:dyDescent="0.25">
      <c r="B40" s="4"/>
      <c r="C40" s="23">
        <v>0</v>
      </c>
      <c r="D40" s="16">
        <v>0</v>
      </c>
      <c r="E40" s="16">
        <v>9</v>
      </c>
      <c r="F40" s="16">
        <v>24</v>
      </c>
      <c r="G40" s="16">
        <v>23</v>
      </c>
      <c r="H40" s="20" t="str">
        <f>G35</f>
        <v>u2r</v>
      </c>
      <c r="L40" s="4"/>
    </row>
    <row r="42" spans="2:12" x14ac:dyDescent="0.25">
      <c r="C42" s="24"/>
      <c r="D42" s="25" t="s">
        <v>0</v>
      </c>
      <c r="E42" t="s">
        <v>24</v>
      </c>
    </row>
    <row r="43" spans="2:12" x14ac:dyDescent="0.25">
      <c r="C43" s="26"/>
      <c r="D43" s="25" t="s">
        <v>3</v>
      </c>
      <c r="E43" t="s">
        <v>25</v>
      </c>
    </row>
    <row r="44" spans="2:12" x14ac:dyDescent="0.25">
      <c r="C44" s="27"/>
      <c r="D44" s="25" t="s">
        <v>2</v>
      </c>
      <c r="E44" t="s">
        <v>26</v>
      </c>
    </row>
    <row r="45" spans="2:12" x14ac:dyDescent="0.25">
      <c r="C45" s="1"/>
      <c r="D45" s="25" t="s">
        <v>4</v>
      </c>
      <c r="E45" t="s">
        <v>27</v>
      </c>
    </row>
    <row r="46" spans="2:12" ht="15.75" customHeight="1" x14ac:dyDescent="0.25">
      <c r="E46" s="12"/>
    </row>
    <row r="54" s="1" customFormat="1" x14ac:dyDescent="0.25"/>
    <row r="55" ht="15.75" customHeight="1" x14ac:dyDescent="0.25"/>
    <row r="64" ht="15.75" customHeight="1" x14ac:dyDescent="0.25"/>
    <row r="73" ht="15.75" customHeight="1" x14ac:dyDescent="0.25"/>
    <row r="82" ht="15.75" customHeight="1" x14ac:dyDescent="0.25"/>
    <row r="91" ht="15.75" customHeight="1" x14ac:dyDescent="0.25"/>
  </sheetData>
  <mergeCells count="5">
    <mergeCell ref="D10:D17"/>
    <mergeCell ref="D19:D26"/>
    <mergeCell ref="H10:H17"/>
    <mergeCell ref="H19:H26"/>
    <mergeCell ref="L13:L2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2017-10-18T02:16:34Z</dcterms:modified>
</cp:coreProperties>
</file>